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ep\Desktop\"/>
    </mc:Choice>
  </mc:AlternateContent>
  <xr:revisionPtr revIDLastSave="0" documentId="8_{B76D199B-8260-4C05-B5CE-702549D59486}" xr6:coauthVersionLast="45" xr6:coauthVersionMax="45" xr10:uidLastSave="{00000000-0000-0000-0000-000000000000}"/>
  <bookViews>
    <workbookView xWindow="915" yWindow="975" windowWidth="21270" windowHeight="14670" xr2:uid="{9A097349-0A83-4970-8349-36265C7DB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</calcChain>
</file>

<file path=xl/sharedStrings.xml><?xml version="1.0" encoding="utf-8"?>
<sst xmlns="http://schemas.openxmlformats.org/spreadsheetml/2006/main" count="28" uniqueCount="26">
  <si>
    <t>model</t>
  </si>
  <si>
    <t>type</t>
  </si>
  <si>
    <t>TP</t>
  </si>
  <si>
    <t>TN</t>
  </si>
  <si>
    <t>FN</t>
  </si>
  <si>
    <t>FP</t>
  </si>
  <si>
    <t>sum</t>
  </si>
  <si>
    <t>acc</t>
  </si>
  <si>
    <t>f1</t>
  </si>
  <si>
    <t>precision</t>
  </si>
  <si>
    <t>knn</t>
  </si>
  <si>
    <t>k = 1</t>
  </si>
  <si>
    <t>Predicted</t>
  </si>
  <si>
    <t>YES</t>
  </si>
  <si>
    <t>NO</t>
  </si>
  <si>
    <t>n = 3697</t>
  </si>
  <si>
    <t>Actual</t>
  </si>
  <si>
    <t>FN = 104</t>
  </si>
  <si>
    <t>FP = 45</t>
  </si>
  <si>
    <t>TP = 1,722</t>
  </si>
  <si>
    <t>TN = 1,826</t>
  </si>
  <si>
    <t>Accuracy</t>
  </si>
  <si>
    <t>Evaluation</t>
  </si>
  <si>
    <t>Precision</t>
  </si>
  <si>
    <t>Score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</si>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</sst>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1" fillId="2" borderId="1" xfId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745C-1B31-46C4-8889-0FAD9A9DC627}">
  <dimension ref="A1:J8"/>
  <sheetViews>
    <sheetView tabSelected="1" zoomScale="145" zoomScaleNormal="145" workbookViewId="0">
      <selection activeCell="K13" sqref="K13"/>
    </sheetView>
  </sheetViews>
  <sheetFormatPr defaultRowHeight="15" x14ac:dyDescent="0.25"/>
  <cols>
    <col min="1" max="1" width="13.28515625" customWidth="1"/>
    <col min="2" max="2" width="23.140625" customWidth="1"/>
    <col min="6" max="7" width="9.85546875" customWidth="1"/>
    <col min="9" max="9" width="9.7109375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3" t="s">
        <v>5</v>
      </c>
      <c r="E1" s="3" t="s">
        <v>4</v>
      </c>
      <c r="F1" s="3" t="s">
        <v>3</v>
      </c>
      <c r="G1" s="2" t="s">
        <v>6</v>
      </c>
      <c r="H1" s="1" t="s">
        <v>7</v>
      </c>
      <c r="I1" s="3" t="s">
        <v>9</v>
      </c>
      <c r="J1" s="2" t="s">
        <v>8</v>
      </c>
    </row>
    <row r="2" spans="1:10" x14ac:dyDescent="0.25">
      <c r="A2" s="4" t="s">
        <v>10</v>
      </c>
      <c r="B2" s="5" t="s">
        <v>11</v>
      </c>
      <c r="C2" s="4">
        <v>1722</v>
      </c>
      <c r="D2" s="6">
        <v>45</v>
      </c>
      <c r="E2" s="6">
        <v>104</v>
      </c>
      <c r="F2" s="6">
        <v>1826</v>
      </c>
      <c r="G2" s="5">
        <f>SUM(C2:F2)</f>
        <v>3697</v>
      </c>
      <c r="H2" s="4">
        <f>ROUND((C2+F2)/(C2+D2+E2+F2),4)</f>
        <v>0.9597</v>
      </c>
      <c r="I2" s="6">
        <f>ROUND(C2/(C2+D2),4)</f>
        <v>0.97450000000000003</v>
      </c>
      <c r="J2" s="5">
        <f>ROUND(C2/(C2+(1/2*(D2+E2))),4)</f>
        <v>0.95850000000000002</v>
      </c>
    </row>
    <row r="5" spans="1:10" x14ac:dyDescent="0.25">
      <c r="F5" s="8" t="s">
        <v>12</v>
      </c>
      <c r="G5" s="8"/>
      <c r="I5" s="9" t="s">
        <v>22</v>
      </c>
      <c r="J5" s="9" t="s">
        <v>24</v>
      </c>
    </row>
    <row r="6" spans="1:10" x14ac:dyDescent="0.25">
      <c r="E6" t="s">
        <v>15</v>
      </c>
      <c r="F6" s="7" t="s">
        <v>13</v>
      </c>
      <c r="G6" s="7" t="s">
        <v>14</v>
      </c>
      <c r="I6" s="10" t="s">
        <v>21</v>
      </c>
      <c r="J6">
        <v>0.9597</v>
      </c>
    </row>
    <row r="7" spans="1:10" x14ac:dyDescent="0.25">
      <c r="D7" s="8" t="s">
        <v>16</v>
      </c>
      <c r="E7" s="7" t="s">
        <v>13</v>
      </c>
      <c r="F7" t="s">
        <v>19</v>
      </c>
      <c r="G7" t="s">
        <v>17</v>
      </c>
      <c r="I7" s="10" t="s">
        <v>23</v>
      </c>
      <c r="J7">
        <v>0.97450000000000003</v>
      </c>
    </row>
    <row r="8" spans="1:10" x14ac:dyDescent="0.25">
      <c r="D8" s="8"/>
      <c r="E8" s="7" t="s">
        <v>14</v>
      </c>
      <c r="F8" t="s">
        <v>18</v>
      </c>
      <c r="G8" t="s">
        <v>20</v>
      </c>
      <c r="I8" s="10" t="s">
        <v>25</v>
      </c>
      <c r="J8">
        <v>0.95850000000000002</v>
      </c>
    </row>
  </sheetData>
  <mergeCells count="2">
    <mergeCell ref="F5:G5"/>
    <mergeCell ref="D7:D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beep</dc:creator>
  <cp:lastModifiedBy>beep</cp:lastModifiedBy>
  <dcterms:created xsi:type="dcterms:W3CDTF">2020-10-25T19:34:54Z</dcterms:created>
  <dcterms:modified xsi:type="dcterms:W3CDTF">2020-10-30T17:56:53Z</dcterms:modified>
</cp:coreProperties>
</file>